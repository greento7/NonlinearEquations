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uli\OneDrive\Документы\"/>
    </mc:Choice>
  </mc:AlternateContent>
  <bookViews>
    <workbookView xWindow="0" yWindow="0" windowWidth="17256" windowHeight="5844"/>
  </bookViews>
  <sheets>
    <sheet name="Бисекция" sheetId="1" r:id="rId1"/>
    <sheet name="Простая итерация" sheetId="2" r:id="rId2"/>
    <sheet name="Ньютон" sheetId="3" r:id="rId3"/>
    <sheet name="Секущие" sheetId="4" r:id="rId4"/>
  </sheets>
  <calcPr calcId="152511" iterate="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4" l="1"/>
  <c r="B10" i="4"/>
  <c r="C10" i="4"/>
  <c r="E10" i="4" s="1"/>
  <c r="D10" i="4"/>
  <c r="A11" i="4"/>
  <c r="A12" i="4" s="1"/>
  <c r="A13" i="4" s="1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C7" i="4"/>
  <c r="B7" i="4"/>
  <c r="A11" i="3"/>
  <c r="B11" i="3"/>
  <c r="D11" i="3" s="1"/>
  <c r="C11" i="3"/>
  <c r="A12" i="3"/>
  <c r="A13" i="3" s="1"/>
  <c r="F10" i="3"/>
  <c r="E10" i="3"/>
  <c r="D10" i="3"/>
  <c r="C10" i="3"/>
  <c r="B10" i="3"/>
  <c r="A10" i="3"/>
  <c r="F9" i="3"/>
  <c r="E9" i="3"/>
  <c r="D9" i="3"/>
  <c r="C9" i="3"/>
  <c r="B9" i="3"/>
  <c r="B6" i="3"/>
  <c r="B5" i="3"/>
  <c r="A31" i="2"/>
  <c r="B31" i="2"/>
  <c r="C31" i="2"/>
  <c r="E31" i="2" s="1"/>
  <c r="D31" i="2"/>
  <c r="A32" i="2"/>
  <c r="A33" i="2"/>
  <c r="A34" i="2"/>
  <c r="A35" i="2" s="1"/>
  <c r="A25" i="2"/>
  <c r="B25" i="2"/>
  <c r="C25" i="2"/>
  <c r="E25" i="2" s="1"/>
  <c r="A26" i="2"/>
  <c r="A27" i="2"/>
  <c r="A28" i="2"/>
  <c r="A29" i="2" s="1"/>
  <c r="A30" i="2" s="1"/>
  <c r="A11" i="2"/>
  <c r="B11" i="2"/>
  <c r="C11" i="2"/>
  <c r="E11" i="2" s="1"/>
  <c r="D11" i="2"/>
  <c r="A12" i="2"/>
  <c r="B12" i="2"/>
  <c r="C12" i="2"/>
  <c r="D12" i="2" s="1"/>
  <c r="A13" i="2"/>
  <c r="B13" i="2"/>
  <c r="C13" i="2" s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E10" i="2"/>
  <c r="D10" i="2"/>
  <c r="C10" i="2"/>
  <c r="B10" i="2"/>
  <c r="A10" i="2"/>
  <c r="E9" i="2"/>
  <c r="D9" i="2"/>
  <c r="C9" i="2"/>
  <c r="B9" i="2"/>
  <c r="B5" i="2"/>
  <c r="C11" i="1"/>
  <c r="G11" i="1" s="1"/>
  <c r="B11" i="1"/>
  <c r="D11" i="1" s="1"/>
  <c r="E1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B6" i="1"/>
  <c r="B5" i="1"/>
  <c r="F10" i="4" l="1"/>
  <c r="E11" i="3"/>
  <c r="B32" i="2"/>
  <c r="C32" i="2" s="1"/>
  <c r="D25" i="2"/>
  <c r="B26" i="2"/>
  <c r="C26" i="2" s="1"/>
  <c r="B14" i="2"/>
  <c r="C14" i="2" s="1"/>
  <c r="D13" i="2"/>
  <c r="E13" i="2"/>
  <c r="E12" i="2"/>
  <c r="H11" i="1"/>
  <c r="F11" i="1"/>
  <c r="B11" i="4" l="1"/>
  <c r="G10" i="4"/>
  <c r="B12" i="3"/>
  <c r="F11" i="3"/>
  <c r="D32" i="2"/>
  <c r="E32" i="2"/>
  <c r="B33" i="2"/>
  <c r="C33" i="2" s="1"/>
  <c r="D26" i="2"/>
  <c r="E26" i="2"/>
  <c r="B27" i="2"/>
  <c r="C27" i="2" s="1"/>
  <c r="B15" i="2"/>
  <c r="C15" i="2" s="1"/>
  <c r="E14" i="2"/>
  <c r="D14" i="2"/>
  <c r="B12" i="1"/>
  <c r="C12" i="1"/>
  <c r="G12" i="1" s="1"/>
  <c r="C11" i="4" l="1"/>
  <c r="E11" i="4" s="1"/>
  <c r="D11" i="4"/>
  <c r="C12" i="3"/>
  <c r="D12" i="3"/>
  <c r="E12" i="3"/>
  <c r="B34" i="2"/>
  <c r="C34" i="2" s="1"/>
  <c r="E33" i="2"/>
  <c r="D33" i="2"/>
  <c r="B28" i="2"/>
  <c r="C28" i="2" s="1"/>
  <c r="E27" i="2"/>
  <c r="D27" i="2"/>
  <c r="E15" i="2"/>
  <c r="B16" i="2"/>
  <c r="C16" i="2" s="1"/>
  <c r="D15" i="2"/>
  <c r="D12" i="1"/>
  <c r="E12" i="1" s="1"/>
  <c r="F11" i="4" l="1"/>
  <c r="F12" i="3"/>
  <c r="B13" i="3"/>
  <c r="B35" i="2"/>
  <c r="C35" i="2" s="1"/>
  <c r="D34" i="2"/>
  <c r="E34" i="2"/>
  <c r="D28" i="2"/>
  <c r="B29" i="2"/>
  <c r="C29" i="2" s="1"/>
  <c r="E28" i="2"/>
  <c r="D16" i="2"/>
  <c r="E16" i="2"/>
  <c r="B17" i="2"/>
  <c r="C17" i="2" s="1"/>
  <c r="H12" i="1"/>
  <c r="F12" i="1"/>
  <c r="B12" i="4" l="1"/>
  <c r="G11" i="4"/>
  <c r="D13" i="3"/>
  <c r="C13" i="3"/>
  <c r="E13" i="3" s="1"/>
  <c r="F13" i="3" s="1"/>
  <c r="E35" i="2"/>
  <c r="D35" i="2"/>
  <c r="E29" i="2"/>
  <c r="B30" i="2"/>
  <c r="C30" i="2" s="1"/>
  <c r="D29" i="2"/>
  <c r="D17" i="2"/>
  <c r="E17" i="2"/>
  <c r="B18" i="2"/>
  <c r="C18" i="2" s="1"/>
  <c r="C13" i="1"/>
  <c r="B13" i="1"/>
  <c r="D13" i="1" s="1"/>
  <c r="E13" i="1" s="1"/>
  <c r="C12" i="4" l="1"/>
  <c r="E12" i="4" s="1"/>
  <c r="D12" i="4"/>
  <c r="D30" i="2"/>
  <c r="E30" i="2"/>
  <c r="B19" i="2"/>
  <c r="C19" i="2" s="1"/>
  <c r="E18" i="2"/>
  <c r="D18" i="2"/>
  <c r="H13" i="1"/>
  <c r="F13" i="1"/>
  <c r="G13" i="1"/>
  <c r="F12" i="4" l="1"/>
  <c r="B20" i="2"/>
  <c r="C20" i="2" s="1"/>
  <c r="D19" i="2"/>
  <c r="E19" i="2"/>
  <c r="C14" i="1"/>
  <c r="B14" i="1"/>
  <c r="D14" i="1" s="1"/>
  <c r="E14" i="1" s="1"/>
  <c r="G12" i="4" l="1"/>
  <c r="B13" i="4"/>
  <c r="E20" i="2"/>
  <c r="D20" i="2"/>
  <c r="B21" i="2"/>
  <c r="C21" i="2" s="1"/>
  <c r="H14" i="1"/>
  <c r="F14" i="1"/>
  <c r="G14" i="1"/>
  <c r="D13" i="4" l="1"/>
  <c r="C13" i="4"/>
  <c r="E13" i="4" s="1"/>
  <c r="D21" i="2"/>
  <c r="E21" i="2"/>
  <c r="B22" i="2"/>
  <c r="C22" i="2" s="1"/>
  <c r="C15" i="1"/>
  <c r="G15" i="1" s="1"/>
  <c r="B15" i="1"/>
  <c r="F13" i="4" l="1"/>
  <c r="G13" i="4" s="1"/>
  <c r="B23" i="2"/>
  <c r="C23" i="2" s="1"/>
  <c r="D22" i="2"/>
  <c r="E22" i="2"/>
  <c r="D15" i="1"/>
  <c r="E15" i="1" s="1"/>
  <c r="D23" i="2" l="1"/>
  <c r="E23" i="2"/>
  <c r="B24" i="2"/>
  <c r="C24" i="2" s="1"/>
  <c r="H15" i="1"/>
  <c r="F15" i="1"/>
  <c r="E24" i="2" l="1"/>
  <c r="D24" i="2"/>
  <c r="B16" i="1"/>
  <c r="C16" i="1"/>
  <c r="G16" i="1" s="1"/>
  <c r="D16" i="1" l="1"/>
  <c r="E16" i="1" s="1"/>
  <c r="H16" i="1" l="1"/>
  <c r="F16" i="1"/>
  <c r="B17" i="1" l="1"/>
  <c r="D17" i="1" s="1"/>
  <c r="E17" i="1" s="1"/>
  <c r="C17" i="1"/>
  <c r="G17" i="1" l="1"/>
  <c r="H17" i="1"/>
  <c r="F17" i="1"/>
  <c r="B18" i="1" l="1"/>
  <c r="C18" i="1"/>
  <c r="G18" i="1" s="1"/>
  <c r="D18" i="1" l="1"/>
  <c r="E18" i="1" s="1"/>
  <c r="H18" i="1" l="1"/>
  <c r="F18" i="1"/>
  <c r="B19" i="1" l="1"/>
  <c r="C19" i="1"/>
  <c r="G19" i="1" s="1"/>
  <c r="D19" i="1" l="1"/>
  <c r="E19" i="1" s="1"/>
  <c r="H19" i="1" l="1"/>
  <c r="F19" i="1"/>
  <c r="B20" i="1" l="1"/>
  <c r="C20" i="1"/>
  <c r="G20" i="1" s="1"/>
  <c r="D20" i="1" l="1"/>
  <c r="E20" i="1" s="1"/>
  <c r="H20" i="1" l="1"/>
  <c r="F20" i="1"/>
  <c r="B21" i="1" l="1"/>
  <c r="C21" i="1"/>
  <c r="G21" i="1" s="1"/>
  <c r="D21" i="1" l="1"/>
  <c r="E21" i="1" s="1"/>
  <c r="H21" i="1" l="1"/>
  <c r="F21" i="1"/>
  <c r="B22" i="1" l="1"/>
  <c r="C22" i="1"/>
  <c r="G22" i="1" s="1"/>
  <c r="D22" i="1" l="1"/>
  <c r="E22" i="1" s="1"/>
  <c r="H22" i="1" l="1"/>
  <c r="F22" i="1"/>
</calcChain>
</file>

<file path=xl/sharedStrings.xml><?xml version="1.0" encoding="utf-8"?>
<sst xmlns="http://schemas.openxmlformats.org/spreadsheetml/2006/main" count="48" uniqueCount="37">
  <si>
    <t>eps=</t>
  </si>
  <si>
    <t>n</t>
  </si>
  <si>
    <t>a</t>
  </si>
  <si>
    <t>b</t>
  </si>
  <si>
    <t>c=(a+b)/2</t>
  </si>
  <si>
    <t>f(c)</t>
  </si>
  <si>
    <t>f(a)*f(с)</t>
  </si>
  <si>
    <t>b-a</t>
  </si>
  <si>
    <t>x0=</t>
  </si>
  <si>
    <t>phi'(x0)=</t>
  </si>
  <si>
    <t>Условие |phi'| &lt; 1 выполнено</t>
  </si>
  <si>
    <t>x_n</t>
  </si>
  <si>
    <t>x_{n+1} = cos(x_n)</t>
  </si>
  <si>
    <t>|x_{n+1} - x_n|</t>
  </si>
  <si>
    <t>f(x_{n+1})</t>
  </si>
  <si>
    <t>f(x) = cos(x) - x</t>
  </si>
  <si>
    <t>f (x) = cos (x) - x</t>
  </si>
  <si>
    <t>phi (x) = cos (x)</t>
  </si>
  <si>
    <t>a =</t>
  </si>
  <si>
    <t>b =</t>
  </si>
  <si>
    <t>eps =</t>
  </si>
  <si>
    <t>f (a) =</t>
  </si>
  <si>
    <t>f (b) =</t>
  </si>
  <si>
    <t>f'(x) = -sin(x) - 1</t>
  </si>
  <si>
    <t>x0 =</t>
  </si>
  <si>
    <t>f(x0) =</t>
  </si>
  <si>
    <t>f'(x0) =</t>
  </si>
  <si>
    <t>k</t>
  </si>
  <si>
    <t>x_k</t>
  </si>
  <si>
    <t>f(x_k)</t>
  </si>
  <si>
    <t>f'(x_k)</t>
  </si>
  <si>
    <t>x_{k+1}</t>
  </si>
  <si>
    <t>|x_{k+1} - x_k|</t>
  </si>
  <si>
    <t>x1 =</t>
  </si>
  <si>
    <t>x_k - x_{k-1}</t>
  </si>
  <si>
    <t>f(x_k) - f(x_{k-1})</t>
  </si>
  <si>
    <t>ABS|f(c)|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</si>
</sst>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J16" sqref="J16"/>
    </sheetView>
  </sheetViews>
  <sheetFormatPr defaultRowHeight="14.4" x14ac:dyDescent="0.3"/>
  <cols>
    <col min="1" max="1" width="13.77734375" customWidth="1"/>
  </cols>
  <sheetData>
    <row r="1" spans="1:8" x14ac:dyDescent="0.3">
      <c r="A1" t="s">
        <v>16</v>
      </c>
    </row>
    <row r="2" spans="1:8" x14ac:dyDescent="0.3">
      <c r="A2" t="s">
        <v>18</v>
      </c>
      <c r="B2">
        <v>0</v>
      </c>
    </row>
    <row r="3" spans="1:8" x14ac:dyDescent="0.3">
      <c r="A3" t="s">
        <v>19</v>
      </c>
      <c r="B3">
        <v>1</v>
      </c>
    </row>
    <row r="4" spans="1:8" x14ac:dyDescent="0.3">
      <c r="A4" t="s">
        <v>20</v>
      </c>
      <c r="B4">
        <v>1E-4</v>
      </c>
    </row>
    <row r="5" spans="1:8" x14ac:dyDescent="0.3">
      <c r="A5" t="s">
        <v>21</v>
      </c>
      <c r="B5">
        <f>COS(B2)-B2</f>
        <v>1</v>
      </c>
    </row>
    <row r="6" spans="1:8" x14ac:dyDescent="0.3">
      <c r="A6" t="s">
        <v>22</v>
      </c>
      <c r="B6">
        <f>COS(B3)-B3</f>
        <v>-0.45969769413186023</v>
      </c>
    </row>
    <row r="8" spans="1:8" x14ac:dyDescent="0.3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36</v>
      </c>
    </row>
    <row r="9" spans="1:8" x14ac:dyDescent="0.3">
      <c r="A9">
        <v>1</v>
      </c>
      <c r="B9">
        <f>B$2</f>
        <v>0</v>
      </c>
      <c r="C9">
        <f>B$3</f>
        <v>1</v>
      </c>
      <c r="D9">
        <f>(B9+C9)/2</f>
        <v>0.5</v>
      </c>
      <c r="E9">
        <f>COS(D9)-D9</f>
        <v>0.37758256189037276</v>
      </c>
      <c r="F9">
        <f>E9*$B$5</f>
        <v>0.37758256189037276</v>
      </c>
      <c r="G9">
        <f>C9-B9</f>
        <v>1</v>
      </c>
      <c r="H9">
        <f>ABS(E9)</f>
        <v>0.37758256189037276</v>
      </c>
    </row>
    <row r="10" spans="1:8" x14ac:dyDescent="0.3">
      <c r="A10">
        <f>A9+1</f>
        <v>2</v>
      </c>
      <c r="B10">
        <f>IF(F9&lt;0,B9,D9)</f>
        <v>0.5</v>
      </c>
      <c r="C10">
        <f>IF(F9&lt;0,D9,C9)</f>
        <v>1</v>
      </c>
      <c r="D10">
        <f>(B10+C10)/2</f>
        <v>0.75</v>
      </c>
      <c r="E10">
        <f>COS(D10)-D10</f>
        <v>-1.8311131126179103E-2</v>
      </c>
      <c r="F10">
        <f>E10*$B$5</f>
        <v>-1.8311131126179103E-2</v>
      </c>
      <c r="G10">
        <f>C10-B10</f>
        <v>0.5</v>
      </c>
      <c r="H10">
        <f>ABS(E10)</f>
        <v>1.8311131126179103E-2</v>
      </c>
    </row>
    <row r="11" spans="1:8" x14ac:dyDescent="0.3">
      <c r="A11">
        <f t="shared" ref="A11:A22" si="0">A10+1</f>
        <v>3</v>
      </c>
      <c r="B11">
        <f t="shared" ref="B11:B22" si="1">IF(F10&lt;0,B10,D10)</f>
        <v>0.5</v>
      </c>
      <c r="C11">
        <f t="shared" ref="C11:C22" si="2">IF(F10&lt;0,D10,C10)</f>
        <v>0.75</v>
      </c>
      <c r="D11">
        <f t="shared" ref="D11:D22" si="3">(B11+C11)/2</f>
        <v>0.625</v>
      </c>
      <c r="E11">
        <f t="shared" ref="E11:E22" si="4">COS(D11)-D11</f>
        <v>0.18596311950521793</v>
      </c>
      <c r="F11">
        <f t="shared" ref="F11:F22" si="5">E11*$B$5</f>
        <v>0.18596311950521793</v>
      </c>
      <c r="G11">
        <f t="shared" ref="G11:G22" si="6">C11-B11</f>
        <v>0.25</v>
      </c>
      <c r="H11">
        <f t="shared" ref="H11:H22" si="7">ABS(E11)</f>
        <v>0.18596311950521793</v>
      </c>
    </row>
    <row r="12" spans="1:8" x14ac:dyDescent="0.3">
      <c r="A12">
        <f t="shared" si="0"/>
        <v>4</v>
      </c>
      <c r="B12">
        <f t="shared" si="1"/>
        <v>0.625</v>
      </c>
      <c r="C12">
        <f t="shared" si="2"/>
        <v>0.75</v>
      </c>
      <c r="D12">
        <f t="shared" si="3"/>
        <v>0.6875</v>
      </c>
      <c r="E12">
        <f t="shared" si="4"/>
        <v>8.5334946152471503E-2</v>
      </c>
      <c r="F12">
        <f t="shared" si="5"/>
        <v>8.5334946152471503E-2</v>
      </c>
      <c r="G12">
        <f t="shared" si="6"/>
        <v>0.125</v>
      </c>
      <c r="H12">
        <f t="shared" si="7"/>
        <v>8.5334946152471503E-2</v>
      </c>
    </row>
    <row r="13" spans="1:8" x14ac:dyDescent="0.3">
      <c r="A13">
        <f t="shared" si="0"/>
        <v>5</v>
      </c>
      <c r="B13">
        <f t="shared" si="1"/>
        <v>0.6875</v>
      </c>
      <c r="C13">
        <f t="shared" si="2"/>
        <v>0.75</v>
      </c>
      <c r="D13">
        <f t="shared" si="3"/>
        <v>0.71875</v>
      </c>
      <c r="E13">
        <f t="shared" si="4"/>
        <v>3.3879372418066489E-2</v>
      </c>
      <c r="F13">
        <f t="shared" si="5"/>
        <v>3.3879372418066489E-2</v>
      </c>
      <c r="G13">
        <f t="shared" si="6"/>
        <v>6.25E-2</v>
      </c>
      <c r="H13">
        <f t="shared" si="7"/>
        <v>3.3879372418066489E-2</v>
      </c>
    </row>
    <row r="14" spans="1:8" x14ac:dyDescent="0.3">
      <c r="A14">
        <f t="shared" si="0"/>
        <v>6</v>
      </c>
      <c r="B14">
        <f t="shared" si="1"/>
        <v>0.71875</v>
      </c>
      <c r="C14">
        <f t="shared" si="2"/>
        <v>0.75</v>
      </c>
      <c r="D14">
        <f t="shared" si="3"/>
        <v>0.734375</v>
      </c>
      <c r="E14">
        <f t="shared" si="4"/>
        <v>7.8747254585013193E-3</v>
      </c>
      <c r="F14">
        <f t="shared" si="5"/>
        <v>7.8747254585013193E-3</v>
      </c>
      <c r="G14">
        <f t="shared" si="6"/>
        <v>3.125E-2</v>
      </c>
      <c r="H14">
        <f t="shared" si="7"/>
        <v>7.8747254585013193E-3</v>
      </c>
    </row>
    <row r="15" spans="1:8" x14ac:dyDescent="0.3">
      <c r="A15">
        <f t="shared" si="0"/>
        <v>7</v>
      </c>
      <c r="B15">
        <f t="shared" si="1"/>
        <v>0.734375</v>
      </c>
      <c r="C15">
        <f t="shared" si="2"/>
        <v>0.75</v>
      </c>
      <c r="D15">
        <f t="shared" si="3"/>
        <v>0.7421875</v>
      </c>
      <c r="E15">
        <f t="shared" si="4"/>
        <v>-5.1957117437592126E-3</v>
      </c>
      <c r="F15">
        <f t="shared" si="5"/>
        <v>-5.1957117437592126E-3</v>
      </c>
      <c r="G15">
        <f t="shared" si="6"/>
        <v>1.5625E-2</v>
      </c>
      <c r="H15">
        <f t="shared" si="7"/>
        <v>5.1957117437592126E-3</v>
      </c>
    </row>
    <row r="16" spans="1:8" x14ac:dyDescent="0.3">
      <c r="A16">
        <f t="shared" si="0"/>
        <v>8</v>
      </c>
      <c r="B16">
        <f t="shared" si="1"/>
        <v>0.734375</v>
      </c>
      <c r="C16">
        <f t="shared" si="2"/>
        <v>0.7421875</v>
      </c>
      <c r="D16">
        <f t="shared" si="3"/>
        <v>0.73828125</v>
      </c>
      <c r="E16">
        <f t="shared" si="4"/>
        <v>1.3451497518051081E-3</v>
      </c>
      <c r="F16">
        <f t="shared" si="5"/>
        <v>1.3451497518051081E-3</v>
      </c>
      <c r="G16">
        <f t="shared" si="6"/>
        <v>7.8125E-3</v>
      </c>
      <c r="H16">
        <f t="shared" si="7"/>
        <v>1.3451497518051081E-3</v>
      </c>
    </row>
    <row r="17" spans="1:8" x14ac:dyDescent="0.3">
      <c r="A17">
        <f t="shared" si="0"/>
        <v>9</v>
      </c>
      <c r="B17">
        <f t="shared" si="1"/>
        <v>0.73828125</v>
      </c>
      <c r="C17">
        <f t="shared" si="2"/>
        <v>0.7421875</v>
      </c>
      <c r="D17">
        <f t="shared" si="3"/>
        <v>0.740234375</v>
      </c>
      <c r="E17">
        <f t="shared" si="4"/>
        <v>-1.923872780897673E-3</v>
      </c>
      <c r="F17">
        <f t="shared" si="5"/>
        <v>-1.923872780897673E-3</v>
      </c>
      <c r="G17">
        <f t="shared" si="6"/>
        <v>3.90625E-3</v>
      </c>
      <c r="H17">
        <f t="shared" si="7"/>
        <v>1.923872780897673E-3</v>
      </c>
    </row>
    <row r="18" spans="1:8" x14ac:dyDescent="0.3">
      <c r="A18">
        <f t="shared" si="0"/>
        <v>10</v>
      </c>
      <c r="B18">
        <f t="shared" si="1"/>
        <v>0.73828125</v>
      </c>
      <c r="C18">
        <f t="shared" si="2"/>
        <v>0.740234375</v>
      </c>
      <c r="D18">
        <f t="shared" si="3"/>
        <v>0.7392578125</v>
      </c>
      <c r="E18">
        <f t="shared" si="4"/>
        <v>-2.8900914679008682E-4</v>
      </c>
      <c r="F18">
        <f t="shared" si="5"/>
        <v>-2.8900914679008682E-4</v>
      </c>
      <c r="G18">
        <f t="shared" si="6"/>
        <v>1.953125E-3</v>
      </c>
      <c r="H18">
        <f t="shared" si="7"/>
        <v>2.8900914679008682E-4</v>
      </c>
    </row>
    <row r="19" spans="1:8" x14ac:dyDescent="0.3">
      <c r="A19">
        <f t="shared" si="0"/>
        <v>11</v>
      </c>
      <c r="B19">
        <f t="shared" si="1"/>
        <v>0.73828125</v>
      </c>
      <c r="C19">
        <f t="shared" si="2"/>
        <v>0.7392578125</v>
      </c>
      <c r="D19">
        <f t="shared" si="3"/>
        <v>0.73876953125</v>
      </c>
      <c r="E19">
        <f t="shared" si="4"/>
        <v>5.2815843365816573E-4</v>
      </c>
      <c r="F19">
        <f t="shared" si="5"/>
        <v>5.2815843365816573E-4</v>
      </c>
      <c r="G19">
        <f t="shared" si="6"/>
        <v>9.765625E-4</v>
      </c>
      <c r="H19">
        <f t="shared" si="7"/>
        <v>5.2815843365816573E-4</v>
      </c>
    </row>
    <row r="20" spans="1:8" x14ac:dyDescent="0.3">
      <c r="A20">
        <f t="shared" si="0"/>
        <v>12</v>
      </c>
      <c r="B20">
        <f t="shared" si="1"/>
        <v>0.73876953125</v>
      </c>
      <c r="C20">
        <f t="shared" si="2"/>
        <v>0.7392578125</v>
      </c>
      <c r="D20">
        <f t="shared" si="3"/>
        <v>0.739013671875</v>
      </c>
      <c r="E20">
        <f t="shared" si="4"/>
        <v>1.1959667132188656E-4</v>
      </c>
      <c r="F20">
        <f t="shared" si="5"/>
        <v>1.1959667132188656E-4</v>
      </c>
      <c r="G20">
        <f t="shared" si="6"/>
        <v>4.8828125E-4</v>
      </c>
      <c r="H20">
        <f t="shared" si="7"/>
        <v>1.1959667132188656E-4</v>
      </c>
    </row>
    <row r="21" spans="1:8" x14ac:dyDescent="0.3">
      <c r="A21">
        <f t="shared" si="0"/>
        <v>13</v>
      </c>
      <c r="B21">
        <f t="shared" si="1"/>
        <v>0.739013671875</v>
      </c>
      <c r="C21">
        <f t="shared" si="2"/>
        <v>0.7392578125</v>
      </c>
      <c r="D21">
        <f t="shared" si="3"/>
        <v>0.7391357421875</v>
      </c>
      <c r="E21">
        <f t="shared" si="4"/>
        <v>-8.4700731374787175E-5</v>
      </c>
      <c r="F21">
        <f t="shared" si="5"/>
        <v>-8.4700731374787175E-5</v>
      </c>
      <c r="G21">
        <f t="shared" si="6"/>
        <v>2.44140625E-4</v>
      </c>
      <c r="H21">
        <f t="shared" si="7"/>
        <v>8.4700731374787175E-5</v>
      </c>
    </row>
    <row r="22" spans="1:8" x14ac:dyDescent="0.3">
      <c r="A22">
        <f t="shared" si="0"/>
        <v>14</v>
      </c>
      <c r="B22">
        <f t="shared" si="1"/>
        <v>0.739013671875</v>
      </c>
      <c r="C22">
        <f t="shared" si="2"/>
        <v>0.7391357421875</v>
      </c>
      <c r="D22">
        <f t="shared" si="3"/>
        <v>0.73907470703125</v>
      </c>
      <c r="E22">
        <f t="shared" si="4"/>
        <v>1.7449346639941687E-5</v>
      </c>
      <c r="F22">
        <f t="shared" si="5"/>
        <v>1.7449346639941687E-5</v>
      </c>
      <c r="G22">
        <f t="shared" si="6"/>
        <v>1.220703125E-4</v>
      </c>
      <c r="H22">
        <f t="shared" si="7"/>
        <v>1.7449346639941687E-5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zoomScaleNormal="100" workbookViewId="0">
      <selection activeCell="B2" sqref="B2"/>
    </sheetView>
  </sheetViews>
  <sheetFormatPr defaultRowHeight="14.4" x14ac:dyDescent="0.3"/>
  <cols>
    <col min="1" max="1" width="13.109375" customWidth="1"/>
    <col min="3" max="3" width="15.77734375" customWidth="1"/>
    <col min="4" max="4" width="13.109375" customWidth="1"/>
  </cols>
  <sheetData>
    <row r="1" spans="1:5" x14ac:dyDescent="0.3">
      <c r="A1" t="s">
        <v>16</v>
      </c>
    </row>
    <row r="2" spans="1:5" x14ac:dyDescent="0.3">
      <c r="A2" t="s">
        <v>17</v>
      </c>
    </row>
    <row r="3" spans="1:5" x14ac:dyDescent="0.3">
      <c r="A3" t="s">
        <v>8</v>
      </c>
      <c r="B3">
        <v>0.5</v>
      </c>
    </row>
    <row r="4" spans="1:5" x14ac:dyDescent="0.3">
      <c r="A4" t="s">
        <v>0</v>
      </c>
      <c r="B4">
        <v>1E-4</v>
      </c>
    </row>
    <row r="5" spans="1:5" x14ac:dyDescent="0.3">
      <c r="A5" t="s">
        <v>9</v>
      </c>
      <c r="B5">
        <f>-SIN(B3)</f>
        <v>-0.47942553860420301</v>
      </c>
    </row>
    <row r="6" spans="1:5" x14ac:dyDescent="0.3">
      <c r="A6" s="1" t="s">
        <v>10</v>
      </c>
      <c r="B6" s="1"/>
      <c r="C6" s="1"/>
    </row>
    <row r="8" spans="1:5" x14ac:dyDescent="0.3">
      <c r="A8" t="s">
        <v>1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>
        <v>0</v>
      </c>
      <c r="B9">
        <f>B$3</f>
        <v>0.5</v>
      </c>
      <c r="C9">
        <f>COS(B9)</f>
        <v>0.87758256189037276</v>
      </c>
      <c r="D9">
        <f>ABS(C9-B9)</f>
        <v>0.37758256189037276</v>
      </c>
      <c r="E9">
        <f>COS(C9)-C9</f>
        <v>-0.23857006772511358</v>
      </c>
    </row>
    <row r="10" spans="1:5" x14ac:dyDescent="0.3">
      <c r="A10">
        <f>A9+1</f>
        <v>1</v>
      </c>
      <c r="B10">
        <f>C9</f>
        <v>0.87758256189037276</v>
      </c>
      <c r="C10">
        <f>COS(B10)</f>
        <v>0.63901249416525918</v>
      </c>
      <c r="D10">
        <f>ABS(C10-B10)</f>
        <v>0.23857006772511358</v>
      </c>
      <c r="E10">
        <f>COS(C10)-C10</f>
        <v>0.16367260651707571</v>
      </c>
    </row>
    <row r="11" spans="1:5" x14ac:dyDescent="0.3">
      <c r="A11">
        <f t="shared" ref="A11:A24" si="0">A10+1</f>
        <v>2</v>
      </c>
      <c r="B11">
        <f t="shared" ref="B11:B35" si="1">C10</f>
        <v>0.63901249416525918</v>
      </c>
      <c r="C11">
        <f t="shared" ref="C11:C35" si="2">COS(B11)</f>
        <v>0.8026851006823349</v>
      </c>
      <c r="D11">
        <f t="shared" ref="D11:D24" si="3">ABS(C11-B11)</f>
        <v>0.16367260651707571</v>
      </c>
      <c r="E11">
        <f t="shared" ref="E11:E24" si="4">COS(C11)-C11</f>
        <v>-0.10790707389432874</v>
      </c>
    </row>
    <row r="12" spans="1:5" x14ac:dyDescent="0.3">
      <c r="A12">
        <f t="shared" si="0"/>
        <v>3</v>
      </c>
      <c r="B12">
        <f t="shared" si="1"/>
        <v>0.8026851006823349</v>
      </c>
      <c r="C12">
        <f t="shared" si="2"/>
        <v>0.69477802678800615</v>
      </c>
      <c r="D12">
        <f t="shared" si="3"/>
        <v>0.10790707389432874</v>
      </c>
      <c r="E12">
        <f t="shared" si="4"/>
        <v>7.3417804494009919E-2</v>
      </c>
    </row>
    <row r="13" spans="1:5" x14ac:dyDescent="0.3">
      <c r="A13">
        <f t="shared" si="0"/>
        <v>4</v>
      </c>
      <c r="B13">
        <f t="shared" si="1"/>
        <v>0.69477802678800615</v>
      </c>
      <c r="C13">
        <f t="shared" si="2"/>
        <v>0.76819583128201607</v>
      </c>
      <c r="D13">
        <f t="shared" si="3"/>
        <v>7.3417804494009919E-2</v>
      </c>
      <c r="E13">
        <f t="shared" si="4"/>
        <v>-4.9030385339597027E-2</v>
      </c>
    </row>
    <row r="14" spans="1:5" x14ac:dyDescent="0.3">
      <c r="A14">
        <f t="shared" si="0"/>
        <v>5</v>
      </c>
      <c r="B14">
        <f t="shared" si="1"/>
        <v>0.76819583128201607</v>
      </c>
      <c r="C14">
        <f t="shared" si="2"/>
        <v>0.71916544594241905</v>
      </c>
      <c r="D14">
        <f t="shared" si="3"/>
        <v>4.9030385339597027E-2</v>
      </c>
      <c r="E14">
        <f t="shared" si="4"/>
        <v>3.3190313479107947E-2</v>
      </c>
    </row>
    <row r="15" spans="1:5" x14ac:dyDescent="0.3">
      <c r="A15">
        <f t="shared" si="0"/>
        <v>6</v>
      </c>
      <c r="B15">
        <f t="shared" si="1"/>
        <v>0.71916544594241905</v>
      </c>
      <c r="C15">
        <f t="shared" si="2"/>
        <v>0.75235575942152699</v>
      </c>
      <c r="D15">
        <f t="shared" si="3"/>
        <v>3.3190313479107947E-2</v>
      </c>
      <c r="E15">
        <f t="shared" si="4"/>
        <v>-2.227469628370371E-2</v>
      </c>
    </row>
    <row r="16" spans="1:5" x14ac:dyDescent="0.3">
      <c r="A16">
        <f t="shared" si="0"/>
        <v>7</v>
      </c>
      <c r="B16">
        <f t="shared" si="1"/>
        <v>0.75235575942152699</v>
      </c>
      <c r="C16">
        <f t="shared" si="2"/>
        <v>0.73008106313782328</v>
      </c>
      <c r="D16">
        <f t="shared" si="3"/>
        <v>2.227469628370371E-2</v>
      </c>
      <c r="E16">
        <f t="shared" si="4"/>
        <v>1.5039278213616836E-2</v>
      </c>
    </row>
    <row r="17" spans="1:5" x14ac:dyDescent="0.3">
      <c r="A17">
        <f t="shared" si="0"/>
        <v>8</v>
      </c>
      <c r="B17">
        <f t="shared" si="1"/>
        <v>0.73008106313782328</v>
      </c>
      <c r="C17">
        <f t="shared" si="2"/>
        <v>0.74512034135144012</v>
      </c>
      <c r="D17">
        <f t="shared" si="3"/>
        <v>1.5039278213616836E-2</v>
      </c>
      <c r="E17">
        <f t="shared" si="4"/>
        <v>-1.0114032336597023E-2</v>
      </c>
    </row>
    <row r="18" spans="1:5" x14ac:dyDescent="0.3">
      <c r="A18">
        <f t="shared" si="0"/>
        <v>9</v>
      </c>
      <c r="B18">
        <f t="shared" si="1"/>
        <v>0.74512034135144012</v>
      </c>
      <c r="C18">
        <f t="shared" si="2"/>
        <v>0.7350063090148431</v>
      </c>
      <c r="D18">
        <f t="shared" si="3"/>
        <v>1.0114032336597023E-2</v>
      </c>
      <c r="E18">
        <f t="shared" si="4"/>
        <v>6.8202136284027937E-3</v>
      </c>
    </row>
    <row r="19" spans="1:5" x14ac:dyDescent="0.3">
      <c r="A19">
        <f t="shared" si="0"/>
        <v>10</v>
      </c>
      <c r="B19">
        <f t="shared" si="1"/>
        <v>0.7350063090148431</v>
      </c>
      <c r="C19">
        <f t="shared" si="2"/>
        <v>0.74182652264324589</v>
      </c>
      <c r="D19">
        <f t="shared" si="3"/>
        <v>6.8202136284027937E-3</v>
      </c>
      <c r="E19">
        <f t="shared" si="4"/>
        <v>-4.5907972010145182E-3</v>
      </c>
    </row>
    <row r="20" spans="1:5" x14ac:dyDescent="0.3">
      <c r="A20">
        <f t="shared" si="0"/>
        <v>11</v>
      </c>
      <c r="B20">
        <f t="shared" si="1"/>
        <v>0.74182652264324589</v>
      </c>
      <c r="C20">
        <f t="shared" si="2"/>
        <v>0.73723572544223137</v>
      </c>
      <c r="D20">
        <f t="shared" si="3"/>
        <v>4.5907972010145182E-3</v>
      </c>
      <c r="E20">
        <f t="shared" si="4"/>
        <v>3.0939264360317908E-3</v>
      </c>
    </row>
    <row r="21" spans="1:5" x14ac:dyDescent="0.3">
      <c r="A21">
        <f t="shared" si="0"/>
        <v>12</v>
      </c>
      <c r="B21">
        <f t="shared" si="1"/>
        <v>0.73723572544223137</v>
      </c>
      <c r="C21">
        <f t="shared" si="2"/>
        <v>0.74032965187826316</v>
      </c>
      <c r="D21">
        <f t="shared" si="3"/>
        <v>3.0939264360317908E-3</v>
      </c>
      <c r="E21">
        <f t="shared" si="4"/>
        <v>-2.0834135460296999E-3</v>
      </c>
    </row>
    <row r="22" spans="1:5" x14ac:dyDescent="0.3">
      <c r="A22">
        <f t="shared" si="0"/>
        <v>13</v>
      </c>
      <c r="B22">
        <f t="shared" si="1"/>
        <v>0.74032965187826316</v>
      </c>
      <c r="C22">
        <f t="shared" si="2"/>
        <v>0.73824623833223346</v>
      </c>
      <c r="D22">
        <f t="shared" si="3"/>
        <v>2.0834135460296999E-3</v>
      </c>
      <c r="E22">
        <f t="shared" si="4"/>
        <v>1.4037244374277558E-3</v>
      </c>
    </row>
    <row r="23" spans="1:5" x14ac:dyDescent="0.3">
      <c r="A23">
        <f t="shared" si="0"/>
        <v>14</v>
      </c>
      <c r="B23">
        <f t="shared" si="1"/>
        <v>0.73824623833223346</v>
      </c>
      <c r="C23">
        <f t="shared" si="2"/>
        <v>0.73964996276966122</v>
      </c>
      <c r="D23">
        <f t="shared" si="3"/>
        <v>1.4037244374277558E-3</v>
      </c>
      <c r="E23">
        <f t="shared" si="4"/>
        <v>-9.4542341267789265E-4</v>
      </c>
    </row>
    <row r="24" spans="1:5" x14ac:dyDescent="0.3">
      <c r="A24">
        <f t="shared" si="0"/>
        <v>15</v>
      </c>
      <c r="B24">
        <f t="shared" si="1"/>
        <v>0.73964996276966122</v>
      </c>
      <c r="C24">
        <f t="shared" si="2"/>
        <v>0.73870453935698333</v>
      </c>
      <c r="D24">
        <f t="shared" si="3"/>
        <v>9.4542341267789265E-4</v>
      </c>
      <c r="E24">
        <f t="shared" si="4"/>
        <v>6.3691292422674017E-4</v>
      </c>
    </row>
    <row r="25" spans="1:5" x14ac:dyDescent="0.3">
      <c r="A25">
        <f t="shared" ref="A25:A30" si="5">A24+1</f>
        <v>16</v>
      </c>
      <c r="B25">
        <f t="shared" si="1"/>
        <v>0.73870453935698333</v>
      </c>
      <c r="C25">
        <f t="shared" si="2"/>
        <v>0.73934145228121007</v>
      </c>
      <c r="D25">
        <f t="shared" ref="D25:D30" si="6">ABS(C25-B25)</f>
        <v>6.3691292422674017E-4</v>
      </c>
      <c r="E25">
        <f t="shared" ref="E25:E30" si="7">COS(C25)-C25</f>
        <v>-4.2900294910697134E-4</v>
      </c>
    </row>
    <row r="26" spans="1:5" x14ac:dyDescent="0.3">
      <c r="A26">
        <f t="shared" si="5"/>
        <v>17</v>
      </c>
      <c r="B26">
        <f t="shared" si="1"/>
        <v>0.73934145228121007</v>
      </c>
      <c r="C26">
        <f t="shared" si="2"/>
        <v>0.73891244933210309</v>
      </c>
      <c r="D26">
        <f t="shared" si="6"/>
        <v>4.2900294910697134E-4</v>
      </c>
      <c r="E26">
        <f t="shared" si="7"/>
        <v>2.8899480369593E-4</v>
      </c>
    </row>
    <row r="27" spans="1:5" x14ac:dyDescent="0.3">
      <c r="A27">
        <f t="shared" si="5"/>
        <v>18</v>
      </c>
      <c r="B27">
        <f t="shared" si="1"/>
        <v>0.73891244933210309</v>
      </c>
      <c r="C27">
        <f t="shared" si="2"/>
        <v>0.73920144413579902</v>
      </c>
      <c r="D27">
        <f t="shared" si="6"/>
        <v>2.8899480369593E-4</v>
      </c>
      <c r="E27">
        <f t="shared" si="7"/>
        <v>-1.9466435498605161E-4</v>
      </c>
    </row>
    <row r="28" spans="1:5" x14ac:dyDescent="0.3">
      <c r="A28">
        <f t="shared" si="5"/>
        <v>19</v>
      </c>
      <c r="B28">
        <f t="shared" si="1"/>
        <v>0.73920144413579902</v>
      </c>
      <c r="C28">
        <f t="shared" si="2"/>
        <v>0.73900677978081297</v>
      </c>
      <c r="D28">
        <f t="shared" si="6"/>
        <v>1.9466435498605161E-4</v>
      </c>
      <c r="E28">
        <f t="shared" si="7"/>
        <v>1.3113098147987667E-4</v>
      </c>
    </row>
    <row r="29" spans="1:5" x14ac:dyDescent="0.3">
      <c r="A29">
        <f t="shared" si="5"/>
        <v>20</v>
      </c>
      <c r="B29">
        <f t="shared" si="1"/>
        <v>0.73900677978081297</v>
      </c>
      <c r="C29">
        <f t="shared" si="2"/>
        <v>0.73913791076229285</v>
      </c>
      <c r="D29">
        <f t="shared" si="6"/>
        <v>1.3113098147987667E-4</v>
      </c>
      <c r="E29">
        <f t="shared" si="7"/>
        <v>-8.833016708431618E-5</v>
      </c>
    </row>
    <row r="30" spans="1:5" x14ac:dyDescent="0.3">
      <c r="A30">
        <f t="shared" si="5"/>
        <v>21</v>
      </c>
      <c r="B30">
        <f t="shared" si="1"/>
        <v>0.73913791076229285</v>
      </c>
      <c r="C30">
        <f t="shared" si="2"/>
        <v>0.73904958059520853</v>
      </c>
      <c r="D30">
        <f t="shared" si="6"/>
        <v>8.833016708431618E-5</v>
      </c>
      <c r="E30">
        <f t="shared" si="7"/>
        <v>5.9500825318137274E-5</v>
      </c>
    </row>
    <row r="31" spans="1:5" x14ac:dyDescent="0.3">
      <c r="A31">
        <f t="shared" ref="A31:A35" si="8">A30+1</f>
        <v>22</v>
      </c>
      <c r="B31">
        <f t="shared" si="1"/>
        <v>0.73904958059520853</v>
      </c>
      <c r="C31">
        <f t="shared" si="2"/>
        <v>0.73910908142052667</v>
      </c>
      <c r="D31">
        <f t="shared" ref="D31:D35" si="9">ABS(C31-B31)</f>
        <v>5.9500825318137274E-5</v>
      </c>
      <c r="E31">
        <f t="shared" ref="E31:E35" si="10">COS(C31)-C31</f>
        <v>-4.0080216515137046E-5</v>
      </c>
    </row>
    <row r="32" spans="1:5" x14ac:dyDescent="0.3">
      <c r="A32">
        <f t="shared" si="8"/>
        <v>23</v>
      </c>
      <c r="B32">
        <f t="shared" si="1"/>
        <v>0.73910908142052667</v>
      </c>
      <c r="C32">
        <f t="shared" si="2"/>
        <v>0.73906900120401153</v>
      </c>
      <c r="D32">
        <f t="shared" si="9"/>
        <v>4.0080216515137046E-5</v>
      </c>
      <c r="E32">
        <f t="shared" si="10"/>
        <v>2.6998631743158086E-5</v>
      </c>
    </row>
    <row r="33" spans="1:5" x14ac:dyDescent="0.3">
      <c r="A33">
        <f t="shared" si="8"/>
        <v>24</v>
      </c>
      <c r="B33">
        <f t="shared" si="1"/>
        <v>0.73906900120401153</v>
      </c>
      <c r="C33">
        <f t="shared" si="2"/>
        <v>0.73909599983575469</v>
      </c>
      <c r="D33">
        <f t="shared" si="9"/>
        <v>2.6998631743158086E-5</v>
      </c>
      <c r="E33">
        <f t="shared" si="10"/>
        <v>-1.8186550579502025E-5</v>
      </c>
    </row>
    <row r="34" spans="1:5" x14ac:dyDescent="0.3">
      <c r="A34">
        <f t="shared" si="8"/>
        <v>25</v>
      </c>
      <c r="B34">
        <f t="shared" si="1"/>
        <v>0.73909599983575469</v>
      </c>
      <c r="C34">
        <f t="shared" si="2"/>
        <v>0.73907781328517519</v>
      </c>
      <c r="D34">
        <f t="shared" si="9"/>
        <v>1.8186550579502025E-5</v>
      </c>
      <c r="E34">
        <f t="shared" si="10"/>
        <v>1.2250703075755709E-5</v>
      </c>
    </row>
    <row r="35" spans="1:5" x14ac:dyDescent="0.3">
      <c r="A35">
        <f t="shared" si="8"/>
        <v>26</v>
      </c>
      <c r="B35">
        <f t="shared" si="1"/>
        <v>0.73907781328517519</v>
      </c>
      <c r="C35">
        <f t="shared" si="2"/>
        <v>0.73909006398825094</v>
      </c>
      <c r="D35">
        <f t="shared" si="9"/>
        <v>1.2250703075755709E-5</v>
      </c>
      <c r="E35">
        <f t="shared" si="10"/>
        <v>-8.2522101415571925E-6</v>
      </c>
    </row>
  </sheetData>
  <mergeCells count="1">
    <mergeCell ref="A6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G29" sqref="G29"/>
    </sheetView>
  </sheetViews>
  <sheetFormatPr defaultRowHeight="14.4" x14ac:dyDescent="0.3"/>
  <cols>
    <col min="1" max="1" width="13.21875" customWidth="1"/>
    <col min="6" max="6" width="12.6640625" customWidth="1"/>
  </cols>
  <sheetData>
    <row r="1" spans="1:6" x14ac:dyDescent="0.3">
      <c r="A1" t="s">
        <v>15</v>
      </c>
    </row>
    <row r="2" spans="1:6" x14ac:dyDescent="0.3">
      <c r="A2" t="s">
        <v>23</v>
      </c>
    </row>
    <row r="3" spans="1:6" x14ac:dyDescent="0.3">
      <c r="A3" t="s">
        <v>24</v>
      </c>
      <c r="B3">
        <v>1</v>
      </c>
    </row>
    <row r="4" spans="1:6" x14ac:dyDescent="0.3">
      <c r="A4" t="s">
        <v>20</v>
      </c>
      <c r="B4">
        <v>1E-4</v>
      </c>
    </row>
    <row r="5" spans="1:6" x14ac:dyDescent="0.3">
      <c r="A5" t="s">
        <v>25</v>
      </c>
      <c r="B5">
        <f>COS(B3)-B3</f>
        <v>-0.45969769413186023</v>
      </c>
    </row>
    <row r="6" spans="1:6" x14ac:dyDescent="0.3">
      <c r="A6" t="s">
        <v>26</v>
      </c>
      <c r="B6">
        <f>-SIN(B3)-1</f>
        <v>-1.8414709848078965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3">
      <c r="A9">
        <v>0</v>
      </c>
      <c r="B9">
        <f>B$3</f>
        <v>1</v>
      </c>
      <c r="C9">
        <f>COS(B9)-B9</f>
        <v>-0.45969769413186023</v>
      </c>
      <c r="D9">
        <f>-SIN(B9)-1</f>
        <v>-1.8414709848078965</v>
      </c>
      <c r="E9">
        <f>B9-C9/D9</f>
        <v>0.75036386784024389</v>
      </c>
      <c r="F9">
        <f>ABS(E9-B9)</f>
        <v>0.24963613215975611</v>
      </c>
    </row>
    <row r="10" spans="1:6" x14ac:dyDescent="0.3">
      <c r="A10">
        <f>A9+1</f>
        <v>1</v>
      </c>
      <c r="B10">
        <f>E9</f>
        <v>0.75036386784024389</v>
      </c>
      <c r="C10">
        <f>COS(B10)-B10</f>
        <v>-1.8923073822117442E-2</v>
      </c>
      <c r="D10">
        <f>-SIN(B10)-1</f>
        <v>-1.6819049529414878</v>
      </c>
      <c r="E10">
        <f>B10-C10/D10</f>
        <v>0.73911289091136168</v>
      </c>
      <c r="F10">
        <f>ABS(E10-B10)</f>
        <v>1.1250976928882217E-2</v>
      </c>
    </row>
    <row r="11" spans="1:6" x14ac:dyDescent="0.3">
      <c r="A11">
        <f t="shared" ref="A11:A13" si="0">A10+1</f>
        <v>2</v>
      </c>
      <c r="B11">
        <f t="shared" ref="B11:B13" si="1">E10</f>
        <v>0.73911289091136168</v>
      </c>
      <c r="C11">
        <f t="shared" ref="C11:C13" si="2">COS(B11)-B11</f>
        <v>-4.6455898990771516E-5</v>
      </c>
      <c r="D11">
        <f t="shared" ref="D11:D13" si="3">-SIN(B11)-1</f>
        <v>-1.6736325442243012</v>
      </c>
      <c r="E11">
        <f t="shared" ref="E11:E13" si="4">B11-C11/D11</f>
        <v>0.73908513338528403</v>
      </c>
      <c r="F11">
        <f t="shared" ref="F11:F13" si="5">ABS(E11-B11)</f>
        <v>2.7757526077643035E-5</v>
      </c>
    </row>
    <row r="12" spans="1:6" x14ac:dyDescent="0.3">
      <c r="A12">
        <f t="shared" si="0"/>
        <v>3</v>
      </c>
      <c r="B12">
        <f t="shared" si="1"/>
        <v>0.73908513338528403</v>
      </c>
      <c r="C12">
        <f t="shared" si="2"/>
        <v>-2.8472058044570758E-10</v>
      </c>
      <c r="D12">
        <f t="shared" si="3"/>
        <v>-1.6736120293089505</v>
      </c>
      <c r="E12">
        <f t="shared" si="4"/>
        <v>0.73908513321516067</v>
      </c>
      <c r="F12">
        <f t="shared" si="5"/>
        <v>1.7012335984389892E-10</v>
      </c>
    </row>
    <row r="13" spans="1:6" x14ac:dyDescent="0.3">
      <c r="A13">
        <f t="shared" si="0"/>
        <v>4</v>
      </c>
      <c r="B13">
        <f t="shared" si="1"/>
        <v>0.73908513321516067</v>
      </c>
      <c r="C13">
        <f t="shared" si="2"/>
        <v>0</v>
      </c>
      <c r="D13">
        <f t="shared" si="3"/>
        <v>-1.6736120291832148</v>
      </c>
      <c r="E13">
        <f t="shared" si="4"/>
        <v>0.73908513321516067</v>
      </c>
      <c r="F13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J8" sqref="J8"/>
    </sheetView>
  </sheetViews>
  <sheetFormatPr defaultRowHeight="14.4" x14ac:dyDescent="0.3"/>
  <cols>
    <col min="1" max="1" width="12.77734375" customWidth="1"/>
    <col min="4" max="4" width="11" customWidth="1"/>
    <col min="5" max="5" width="15.109375" customWidth="1"/>
    <col min="7" max="7" width="12.6640625" customWidth="1"/>
  </cols>
  <sheetData>
    <row r="1" spans="1:7" x14ac:dyDescent="0.3">
      <c r="A1" t="s">
        <v>15</v>
      </c>
    </row>
    <row r="2" spans="1:7" x14ac:dyDescent="0.3">
      <c r="A2" t="s">
        <v>24</v>
      </c>
      <c r="B2">
        <v>0</v>
      </c>
    </row>
    <row r="3" spans="1:7" x14ac:dyDescent="0.3">
      <c r="A3" t="s">
        <v>33</v>
      </c>
      <c r="B3">
        <v>1</v>
      </c>
    </row>
    <row r="4" spans="1:7" x14ac:dyDescent="0.3">
      <c r="A4" t="s">
        <v>20</v>
      </c>
      <c r="B4">
        <v>1E-4</v>
      </c>
    </row>
    <row r="6" spans="1:7" x14ac:dyDescent="0.3">
      <c r="A6" t="s">
        <v>27</v>
      </c>
      <c r="B6" t="s">
        <v>28</v>
      </c>
      <c r="C6" t="s">
        <v>29</v>
      </c>
      <c r="D6" t="s">
        <v>34</v>
      </c>
      <c r="E6" t="s">
        <v>35</v>
      </c>
      <c r="F6" t="s">
        <v>31</v>
      </c>
      <c r="G6" t="s">
        <v>32</v>
      </c>
    </row>
    <row r="7" spans="1:7" x14ac:dyDescent="0.3">
      <c r="A7">
        <v>0</v>
      </c>
      <c r="B7">
        <f>B$2</f>
        <v>0</v>
      </c>
      <c r="C7">
        <f>COS(B7)-B7</f>
        <v>1</v>
      </c>
    </row>
    <row r="8" spans="1:7" x14ac:dyDescent="0.3">
      <c r="A8">
        <f>A7+1</f>
        <v>1</v>
      </c>
      <c r="B8">
        <f>B$3</f>
        <v>1</v>
      </c>
      <c r="C8">
        <f>COS(B8)-B8</f>
        <v>-0.45969769413186023</v>
      </c>
      <c r="D8">
        <f>B8-B7</f>
        <v>1</v>
      </c>
      <c r="E8">
        <f>C8-C7</f>
        <v>-1.4596976941318602</v>
      </c>
      <c r="F8">
        <f>B8-C8*D8/E8</f>
        <v>0.68507335732604513</v>
      </c>
      <c r="G8">
        <f>ABS(F8-B8)</f>
        <v>0.31492664267395487</v>
      </c>
    </row>
    <row r="9" spans="1:7" x14ac:dyDescent="0.3">
      <c r="A9">
        <f>A8+1</f>
        <v>2</v>
      </c>
      <c r="B9">
        <f>F8</f>
        <v>0.68507335732604513</v>
      </c>
      <c r="C9">
        <f>COS(B9)-B9</f>
        <v>8.9299276481859979E-2</v>
      </c>
      <c r="D9">
        <f>B9-B8</f>
        <v>-0.31492664267395487</v>
      </c>
      <c r="E9">
        <f>C9-C8</f>
        <v>0.54899697061372021</v>
      </c>
      <c r="F9">
        <f>B9-C9*D9/E9</f>
        <v>0.73629899761365403</v>
      </c>
      <c r="G9">
        <f>ABS(F9-B9)</f>
        <v>5.1225640287608898E-2</v>
      </c>
    </row>
    <row r="10" spans="1:7" x14ac:dyDescent="0.3">
      <c r="A10">
        <f t="shared" ref="A10:A13" si="0">A9+1</f>
        <v>3</v>
      </c>
      <c r="B10">
        <f t="shared" ref="B10:B13" si="1">F9</f>
        <v>0.73629899761365403</v>
      </c>
      <c r="C10">
        <f t="shared" ref="C10:C13" si="2">COS(B10)-B10</f>
        <v>4.6600390381426049E-3</v>
      </c>
      <c r="D10">
        <f t="shared" ref="D10:D13" si="3">B10-B9</f>
        <v>5.1225640287608898E-2</v>
      </c>
      <c r="E10">
        <f t="shared" ref="E10:E13" si="4">C10-C9</f>
        <v>-8.4639237443717374E-2</v>
      </c>
      <c r="F10">
        <f t="shared" ref="F10:F13" si="5">B10-C10*D10/E10</f>
        <v>0.7391193619116293</v>
      </c>
      <c r="G10">
        <f t="shared" ref="G10:G13" si="6">ABS(F10-B10)</f>
        <v>2.8203642979752752E-3</v>
      </c>
    </row>
    <row r="11" spans="1:7" x14ac:dyDescent="0.3">
      <c r="A11">
        <f t="shared" si="0"/>
        <v>4</v>
      </c>
      <c r="B11">
        <f t="shared" si="1"/>
        <v>0.7391193619116293</v>
      </c>
      <c r="C11">
        <f t="shared" si="2"/>
        <v>-5.7285991106104106E-5</v>
      </c>
      <c r="D11">
        <f t="shared" si="3"/>
        <v>2.8203642979752752E-3</v>
      </c>
      <c r="E11">
        <f t="shared" si="4"/>
        <v>-4.717325029248709E-3</v>
      </c>
      <c r="F11">
        <f t="shared" si="5"/>
        <v>0.73908511212746386</v>
      </c>
      <c r="G11">
        <f t="shared" si="6"/>
        <v>3.4249784165441E-5</v>
      </c>
    </row>
    <row r="12" spans="1:7" x14ac:dyDescent="0.3">
      <c r="A12">
        <f t="shared" si="0"/>
        <v>5</v>
      </c>
      <c r="B12">
        <f t="shared" si="1"/>
        <v>0.73908511212746386</v>
      </c>
      <c r="C12">
        <f t="shared" si="2"/>
        <v>3.5292622824201203E-8</v>
      </c>
      <c r="D12">
        <f t="shared" si="3"/>
        <v>-3.4249784165441E-5</v>
      </c>
      <c r="E12">
        <f t="shared" si="4"/>
        <v>5.7321283728928307E-5</v>
      </c>
      <c r="F12">
        <f t="shared" si="5"/>
        <v>0.73908513321500124</v>
      </c>
      <c r="G12">
        <f t="shared" si="6"/>
        <v>2.1087537382946664E-8</v>
      </c>
    </row>
    <row r="13" spans="1:7" x14ac:dyDescent="0.3">
      <c r="A13">
        <f t="shared" si="0"/>
        <v>6</v>
      </c>
      <c r="B13">
        <f t="shared" si="1"/>
        <v>0.73908513321500124</v>
      </c>
      <c r="C13">
        <f t="shared" si="2"/>
        <v>2.6678659281742512E-13</v>
      </c>
      <c r="D13">
        <f t="shared" si="3"/>
        <v>2.1087537382946664E-8</v>
      </c>
      <c r="E13">
        <f t="shared" si="4"/>
        <v>-3.5292356037608386E-8</v>
      </c>
      <c r="F13">
        <f t="shared" si="5"/>
        <v>0.73908513321516067</v>
      </c>
      <c r="G13">
        <f t="shared" si="6"/>
        <v>1.5942802633617248E-13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Бисекция</vt:lpstr>
      <vt:lpstr>Простая итерация</vt:lpstr>
      <vt:lpstr>Ньютон</vt:lpstr>
      <vt:lpstr>Секущие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Green</dc:creator>
  <cp:lastModifiedBy>Ann Green</cp:lastModifiedBy>
  <dcterms:created xsi:type="dcterms:W3CDTF">2026-09-20T13:50:36Z</dcterms:created>
  <dcterms:modified xsi:type="dcterms:W3CDTF">2026-09-26T15:04:38Z</dcterms:modified>
</cp:coreProperties>
</file>